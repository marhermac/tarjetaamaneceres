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Hoja1" sheetId="1" r:id="rId1"/>
    <sheet name="configurac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<sst xmlns="http://schemas.openxmlformats.org/spreadsheetml/2006/main" count="636" uniqueCount="119">
  <si>
    <t xml:space="preserve">ID </t>
  </si>
  <si>
    <t>categoria</t>
  </si>
  <si>
    <t>sub-cat</t>
  </si>
  <si>
    <t>Estado</t>
  </si>
  <si>
    <t>proceso</t>
  </si>
  <si>
    <t>producto</t>
  </si>
  <si>
    <t>Med.Casera</t>
  </si>
  <si>
    <t>cantidad</t>
  </si>
  <si>
    <t xml:space="preserve"> Porc (g) </t>
  </si>
  <si>
    <t>Kcal x MC</t>
  </si>
  <si>
    <t xml:space="preserve"> Porc (100g/ml) </t>
  </si>
  <si>
    <t xml:space="preserve"> Val En (kcal) </t>
  </si>
  <si>
    <t xml:space="preserve"> Carb (g) </t>
  </si>
  <si>
    <t xml:space="preserve"> Azúc (g) </t>
  </si>
  <si>
    <t xml:space="preserve"> Prot (g) </t>
  </si>
  <si>
    <t xml:space="preserve"> Gras Tot (g) </t>
  </si>
  <si>
    <t xml:space="preserve"> Gras Sat (g) </t>
  </si>
  <si>
    <t xml:space="preserve"> Gras Trans (mg) </t>
  </si>
  <si>
    <t xml:space="preserve"> Fib (g) </t>
  </si>
  <si>
    <t xml:space="preserve"> Na (mg)</t>
  </si>
  <si>
    <t>Verduras</t>
  </si>
  <si>
    <t>hoja</t>
  </si>
  <si>
    <t>Crudo</t>
  </si>
  <si>
    <t>Ninguno</t>
  </si>
  <si>
    <t>Acelga</t>
  </si>
  <si>
    <t>Taza Hojas Crudas</t>
  </si>
  <si>
    <t>3.7</t>
  </si>
  <si>
    <t>1.1</t>
  </si>
  <si>
    <t>1.8</t>
  </si>
  <si>
    <t>0.2</t>
  </si>
  <si>
    <t>1.6</t>
  </si>
  <si>
    <t>Albahaca</t>
  </si>
  <si>
    <t>2.7</t>
  </si>
  <si>
    <t>0.3</t>
  </si>
  <si>
    <t>3.2</t>
  </si>
  <si>
    <t>0.6</t>
  </si>
  <si>
    <t>Berro</t>
  </si>
  <si>
    <t>1.3</t>
  </si>
  <si>
    <t>2.3</t>
  </si>
  <si>
    <t>0.1</t>
  </si>
  <si>
    <t>0.5</t>
  </si>
  <si>
    <t>Cilantro</t>
  </si>
  <si>
    <t>0.9</t>
  </si>
  <si>
    <t>2.1</t>
  </si>
  <si>
    <t>2.8</t>
  </si>
  <si>
    <t>Escarola</t>
  </si>
  <si>
    <t>3.4</t>
  </si>
  <si>
    <t>3.1</t>
  </si>
  <si>
    <t>Espinaca</t>
  </si>
  <si>
    <t>3.6</t>
  </si>
  <si>
    <t>0.4</t>
  </si>
  <si>
    <t>2.9</t>
  </si>
  <si>
    <t>2.2</t>
  </si>
  <si>
    <t>Kale</t>
  </si>
  <si>
    <t>8.8</t>
  </si>
  <si>
    <t>4.3</t>
  </si>
  <si>
    <t>Lechuga</t>
  </si>
  <si>
    <t>0.8</t>
  </si>
  <si>
    <t>1.4</t>
  </si>
  <si>
    <t>Menta</t>
  </si>
  <si>
    <t>14.9</t>
  </si>
  <si>
    <t>0.0</t>
  </si>
  <si>
    <t>3.8</t>
  </si>
  <si>
    <t>8.0</t>
  </si>
  <si>
    <t>Pak choi</t>
  </si>
  <si>
    <t>1.2</t>
  </si>
  <si>
    <t>1.5</t>
  </si>
  <si>
    <t>1.0</t>
  </si>
  <si>
    <t>Perejil</t>
  </si>
  <si>
    <t>6.3</t>
  </si>
  <si>
    <t>3.0</t>
  </si>
  <si>
    <t>3.3</t>
  </si>
  <si>
    <t>Repollo blanco</t>
  </si>
  <si>
    <t>5.8</t>
  </si>
  <si>
    <t>2.5</t>
  </si>
  <si>
    <t>Rúcula</t>
  </si>
  <si>
    <t>2.6</t>
  </si>
  <si>
    <t>0.7</t>
  </si>
  <si>
    <t>Cocido</t>
  </si>
  <si>
    <t xml:space="preserve"> Hervido</t>
  </si>
  <si>
    <t>Taza Hojas Cocidas</t>
  </si>
  <si>
    <t xml:space="preserve"> Al Vapor</t>
  </si>
  <si>
    <t>Elaborado</t>
  </si>
  <si>
    <t xml:space="preserve"> Deshidratado</t>
  </si>
  <si>
    <t>Paquete</t>
  </si>
  <si>
    <t>ESTADO</t>
  </si>
  <si>
    <t>porceso</t>
  </si>
  <si>
    <t>Medida Casera</t>
  </si>
  <si>
    <t>,Peso/Volumen (g o ml)</t>
  </si>
  <si>
    <t xml:space="preserve"> Natural</t>
  </si>
  <si>
    <t>Taza (té)</t>
  </si>
  <si>
    <t>Taza (desayuno/grande),</t>
  </si>
  <si>
    <t xml:space="preserve"> Seco</t>
  </si>
  <si>
    <t>Vaso</t>
  </si>
  <si>
    <t xml:space="preserve"> Molido</t>
  </si>
  <si>
    <t>Cucharada sopera,</t>
  </si>
  <si>
    <t>Cucharadita (té),</t>
  </si>
  <si>
    <t>Cucharadita (café),</t>
  </si>
  <si>
    <t xml:space="preserve"> Picado</t>
  </si>
  <si>
    <t>Cucharón de cocina,</t>
  </si>
  <si>
    <t xml:space="preserve"> Horneado</t>
  </si>
  <si>
    <t>Rebanada (pan de molde),</t>
  </si>
  <si>
    <t xml:space="preserve"> Fermentado</t>
  </si>
  <si>
    <t>Galletita (agua/salada),</t>
  </si>
  <si>
    <t xml:space="preserve"> Prensado en frío</t>
  </si>
  <si>
    <t>Feta (queso/jamón),</t>
  </si>
  <si>
    <t xml:space="preserve"> Asado</t>
  </si>
  <si>
    <t>Huevo,50</t>
  </si>
  <si>
    <t xml:space="preserve"> Enlatado</t>
  </si>
  <si>
    <t>Unidad (fruta mediana),</t>
  </si>
  <si>
    <t xml:space="preserve"> Frito</t>
  </si>
  <si>
    <t>Unidad (fruta pequeña),</t>
  </si>
  <si>
    <t xml:space="preserve"> Curado</t>
  </si>
  <si>
    <t>Unidad (pan mignon),</t>
  </si>
  <si>
    <t xml:space="preserve"> Grillado</t>
  </si>
  <si>
    <t>Puñado (frutos secos)</t>
  </si>
  <si>
    <t xml:space="preserve"> Ultraprocesado</t>
  </si>
  <si>
    <t xml:space="preserve"> Salteado</t>
  </si>
  <si>
    <t>Taza Vegetales Picados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</si>
</sst>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tabSelected="1" workbookViewId="0">
      <pane ySplit="1" topLeftCell="A13" activePane="bottomLeft" state="frozen"/>
      <selection/>
      <selection pane="bottomLeft" activeCell="G45" sqref="G45:G53"/>
    </sheetView>
  </sheetViews>
  <sheetFormatPr defaultColWidth="9.14285714285714" defaultRowHeight="14.25"/>
  <cols>
    <col min="1" max="1" width="4.14285714285714" style="1" customWidth="1"/>
    <col min="2" max="2" width="10.1428571428571" style="1" customWidth="1"/>
    <col min="3" max="3" width="8.57142857142857" style="1" customWidth="1"/>
    <col min="4" max="4" width="8.14285714285714" style="1" customWidth="1"/>
    <col min="5" max="5" width="9.14285714285714" style="1" customWidth="1"/>
    <col min="6" max="6" width="16" style="1" customWidth="1"/>
    <col min="7" max="7" width="20.7142857142857" style="1" customWidth="1"/>
    <col min="8" max="8" width="9.42857142857143" style="1" customWidth="1"/>
    <col min="9" max="9" width="10.2857142857143" style="1" customWidth="1"/>
    <col min="10" max="10" width="11.1428571428571" style="1" customWidth="1"/>
    <col min="11" max="11" width="17.4285714285714" style="1" customWidth="1"/>
    <col min="12" max="12" width="15" style="1" customWidth="1"/>
    <col min="13" max="13" width="10.4285714285714" style="1" customWidth="1"/>
    <col min="14" max="14" width="10.5714285714286" style="1" customWidth="1"/>
    <col min="15" max="15" width="9.71428571428571" style="1" customWidth="1"/>
    <col min="16" max="16" width="14.4285714285714" style="1" customWidth="1"/>
    <col min="17" max="17" width="14.7142857142857" style="1" customWidth="1"/>
    <col min="18" max="18" width="19.2857142857143" style="1" customWidth="1"/>
    <col min="19" max="19" width="8.71428571428571" style="1" customWidth="1"/>
    <col min="20" max="20" width="9.71428571428571" style="1" customWidth="1"/>
    <col min="21" max="21" width="9.14285714285714" style="1" customWidth="1"/>
    <col min="22" max="16384" width="9.14285714285714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f>ROW()-1</f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1</v>
      </c>
      <c r="I2" s="1">
        <f>IF(G2="","",VLOOKUP(G2,configuracion!$F$2:$G$20,2,0))</f>
        <v>50</v>
      </c>
      <c r="J2" s="1">
        <f>(L2*(H2*I2)/K2)</f>
        <v>9.5</v>
      </c>
      <c r="K2" s="1">
        <v>100</v>
      </c>
      <c r="L2" s="1">
        <v>19</v>
      </c>
      <c r="M2" s="1" t="s">
        <v>26</v>
      </c>
      <c r="N2" s="1" t="s">
        <v>27</v>
      </c>
      <c r="O2" s="1" t="s">
        <v>28</v>
      </c>
      <c r="P2" s="1" t="s">
        <v>29</v>
      </c>
      <c r="S2" s="1" t="s">
        <v>30</v>
      </c>
      <c r="T2" s="1">
        <v>179</v>
      </c>
    </row>
    <row r="3" spans="1:20">
      <c r="A3" s="1">
        <f>ROW()-1</f>
        <v>2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31</v>
      </c>
      <c r="G3" s="1" t="s">
        <v>25</v>
      </c>
      <c r="H3" s="1">
        <v>1</v>
      </c>
      <c r="I3" s="1">
        <f>IF(G3="","",VLOOKUP(G3,configuracion!$F$2:$G$20,2,0))</f>
        <v>50</v>
      </c>
      <c r="J3" s="1">
        <f t="shared" ref="J3:J27" si="0">(L3*(H3*I3)/K3)</f>
        <v>11.5</v>
      </c>
      <c r="K3" s="1">
        <v>100</v>
      </c>
      <c r="L3" s="1">
        <v>23</v>
      </c>
      <c r="M3" s="1" t="s">
        <v>32</v>
      </c>
      <c r="N3" s="1" t="s">
        <v>33</v>
      </c>
      <c r="O3" s="1" t="s">
        <v>34</v>
      </c>
      <c r="P3" s="1" t="s">
        <v>35</v>
      </c>
      <c r="S3" s="1" t="s">
        <v>30</v>
      </c>
      <c r="T3" s="1">
        <v>4</v>
      </c>
    </row>
    <row r="4" spans="1:20">
      <c r="A4" s="1">
        <f>ROW()-1</f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36</v>
      </c>
      <c r="G4" s="1" t="s">
        <v>25</v>
      </c>
      <c r="H4" s="1">
        <v>1</v>
      </c>
      <c r="I4" s="1">
        <f>IF(G4="","",VLOOKUP(G4,configuracion!$F$2:$G$20,2,0))</f>
        <v>50</v>
      </c>
      <c r="J4" s="1">
        <f t="shared" si="0"/>
        <v>5.5</v>
      </c>
      <c r="K4" s="1">
        <v>100</v>
      </c>
      <c r="L4" s="1">
        <v>11</v>
      </c>
      <c r="M4" s="1" t="s">
        <v>37</v>
      </c>
      <c r="N4" s="1" t="s">
        <v>29</v>
      </c>
      <c r="O4" s="1" t="s">
        <v>38</v>
      </c>
      <c r="P4" s="1" t="s">
        <v>39</v>
      </c>
      <c r="S4" s="1" t="s">
        <v>40</v>
      </c>
      <c r="T4" s="1">
        <v>41</v>
      </c>
    </row>
    <row r="5" spans="1:20">
      <c r="A5" s="1">
        <f t="shared" ref="A5:A18" si="1">ROW()-1</f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41</v>
      </c>
      <c r="G5" s="1" t="s">
        <v>25</v>
      </c>
      <c r="H5" s="1">
        <v>1</v>
      </c>
      <c r="I5" s="1">
        <f>IF(G5="","",VLOOKUP(G5,configuracion!$F$2:$G$20,2,0))</f>
        <v>50</v>
      </c>
      <c r="J5" s="1">
        <f t="shared" si="0"/>
        <v>11.5</v>
      </c>
      <c r="K5" s="1">
        <v>100</v>
      </c>
      <c r="L5" s="1">
        <v>23</v>
      </c>
      <c r="M5" s="1" t="s">
        <v>26</v>
      </c>
      <c r="N5" s="1" t="s">
        <v>42</v>
      </c>
      <c r="O5" s="1" t="s">
        <v>43</v>
      </c>
      <c r="P5" s="1" t="s">
        <v>40</v>
      </c>
      <c r="S5" s="1" t="s">
        <v>44</v>
      </c>
      <c r="T5" s="1">
        <v>46</v>
      </c>
    </row>
    <row r="6" spans="1:20">
      <c r="A6" s="1">
        <f t="shared" si="1"/>
        <v>5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45</v>
      </c>
      <c r="G6" s="1" t="s">
        <v>25</v>
      </c>
      <c r="H6" s="1">
        <v>1</v>
      </c>
      <c r="I6" s="1">
        <f>IF(G6="","",VLOOKUP(G6,configuracion!$F$2:$G$20,2,0))</f>
        <v>50</v>
      </c>
      <c r="J6" s="1">
        <f t="shared" si="0"/>
        <v>8.5</v>
      </c>
      <c r="K6" s="1">
        <v>100</v>
      </c>
      <c r="L6" s="1">
        <v>17</v>
      </c>
      <c r="M6" s="1" t="s">
        <v>46</v>
      </c>
      <c r="N6" s="1" t="s">
        <v>29</v>
      </c>
      <c r="O6" s="1" t="s">
        <v>37</v>
      </c>
      <c r="P6" s="1" t="s">
        <v>29</v>
      </c>
      <c r="S6" s="1" t="s">
        <v>47</v>
      </c>
      <c r="T6" s="1">
        <v>22</v>
      </c>
    </row>
    <row r="7" spans="1:20">
      <c r="A7" s="1">
        <f t="shared" si="1"/>
        <v>6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48</v>
      </c>
      <c r="G7" s="1" t="s">
        <v>25</v>
      </c>
      <c r="H7" s="1">
        <v>1</v>
      </c>
      <c r="I7" s="1">
        <f>IF(G7="","",VLOOKUP(G7,configuracion!$F$2:$G$20,2,0))</f>
        <v>50</v>
      </c>
      <c r="J7" s="1">
        <f t="shared" si="0"/>
        <v>11.5</v>
      </c>
      <c r="K7" s="1">
        <v>100</v>
      </c>
      <c r="L7" s="1">
        <v>23</v>
      </c>
      <c r="M7" s="1" t="s">
        <v>49</v>
      </c>
      <c r="N7" s="1" t="s">
        <v>50</v>
      </c>
      <c r="O7" s="1" t="s">
        <v>51</v>
      </c>
      <c r="P7" s="1" t="s">
        <v>50</v>
      </c>
      <c r="S7" s="1" t="s">
        <v>52</v>
      </c>
      <c r="T7" s="1">
        <v>79</v>
      </c>
    </row>
    <row r="8" spans="1:20">
      <c r="A8" s="1">
        <f t="shared" si="1"/>
        <v>7</v>
      </c>
      <c r="B8" s="1" t="s">
        <v>20</v>
      </c>
      <c r="C8" s="1" t="s">
        <v>21</v>
      </c>
      <c r="D8" s="1" t="s">
        <v>22</v>
      </c>
      <c r="E8" s="1" t="s">
        <v>23</v>
      </c>
      <c r="F8" s="1" t="s">
        <v>53</v>
      </c>
      <c r="G8" s="1" t="s">
        <v>25</v>
      </c>
      <c r="H8" s="1">
        <v>1</v>
      </c>
      <c r="I8" s="1">
        <f>IF(G8="","",VLOOKUP(G8,configuracion!$F$2:$G$20,2,0))</f>
        <v>50</v>
      </c>
      <c r="J8" s="1">
        <f t="shared" si="0"/>
        <v>24.5</v>
      </c>
      <c r="K8" s="1">
        <v>100</v>
      </c>
      <c r="L8" s="1">
        <v>49</v>
      </c>
      <c r="M8" s="1" t="s">
        <v>54</v>
      </c>
      <c r="N8" s="1" t="s">
        <v>38</v>
      </c>
      <c r="O8" s="1" t="s">
        <v>55</v>
      </c>
      <c r="P8" s="1" t="s">
        <v>42</v>
      </c>
      <c r="S8" s="1" t="s">
        <v>49</v>
      </c>
      <c r="T8" s="1">
        <v>38</v>
      </c>
    </row>
    <row r="9" spans="1:20">
      <c r="A9" s="1">
        <f t="shared" si="1"/>
        <v>8</v>
      </c>
      <c r="B9" s="1" t="s">
        <v>20</v>
      </c>
      <c r="C9" s="1" t="s">
        <v>21</v>
      </c>
      <c r="D9" s="1" t="s">
        <v>22</v>
      </c>
      <c r="E9" s="1" t="s">
        <v>23</v>
      </c>
      <c r="F9" s="1" t="s">
        <v>56</v>
      </c>
      <c r="G9" s="1" t="s">
        <v>25</v>
      </c>
      <c r="H9" s="1">
        <v>1</v>
      </c>
      <c r="I9" s="1">
        <f>IF(G9="","",VLOOKUP(G9,configuracion!$F$2:$G$20,2,0))</f>
        <v>50</v>
      </c>
      <c r="J9" s="1">
        <f t="shared" si="0"/>
        <v>7.5</v>
      </c>
      <c r="K9" s="1">
        <v>100</v>
      </c>
      <c r="L9" s="1">
        <v>15</v>
      </c>
      <c r="M9" s="1" t="s">
        <v>51</v>
      </c>
      <c r="N9" s="1" t="s">
        <v>57</v>
      </c>
      <c r="O9" s="1" t="s">
        <v>58</v>
      </c>
      <c r="P9" s="1" t="s">
        <v>29</v>
      </c>
      <c r="S9" s="1" t="s">
        <v>37</v>
      </c>
      <c r="T9" s="1">
        <v>28</v>
      </c>
    </row>
    <row r="10" spans="1:20">
      <c r="A10" s="1">
        <f t="shared" si="1"/>
        <v>9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59</v>
      </c>
      <c r="G10" s="1" t="s">
        <v>25</v>
      </c>
      <c r="H10" s="1">
        <v>1</v>
      </c>
      <c r="I10" s="1">
        <f>IF(G10="","",VLOOKUP(G10,configuracion!$F$2:$G$20,2,0))</f>
        <v>50</v>
      </c>
      <c r="J10" s="1">
        <f t="shared" si="0"/>
        <v>35</v>
      </c>
      <c r="K10" s="1">
        <v>100</v>
      </c>
      <c r="L10" s="1">
        <v>70</v>
      </c>
      <c r="M10" s="1" t="s">
        <v>60</v>
      </c>
      <c r="N10" s="1" t="s">
        <v>61</v>
      </c>
      <c r="O10" s="1" t="s">
        <v>62</v>
      </c>
      <c r="P10" s="1" t="s">
        <v>42</v>
      </c>
      <c r="S10" s="1" t="s">
        <v>63</v>
      </c>
      <c r="T10" s="1">
        <v>31</v>
      </c>
    </row>
    <row r="11" spans="1:20">
      <c r="A11" s="1">
        <f t="shared" si="1"/>
        <v>10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64</v>
      </c>
      <c r="G11" s="1" t="s">
        <v>25</v>
      </c>
      <c r="H11" s="1">
        <v>1</v>
      </c>
      <c r="I11" s="1">
        <f>IF(G11="","",VLOOKUP(G11,configuracion!$F$2:$G$20,2,0))</f>
        <v>50</v>
      </c>
      <c r="J11" s="1">
        <f t="shared" si="0"/>
        <v>6.5</v>
      </c>
      <c r="K11" s="1">
        <v>100</v>
      </c>
      <c r="L11" s="1">
        <v>13</v>
      </c>
      <c r="M11" s="1" t="s">
        <v>52</v>
      </c>
      <c r="N11" s="1" t="s">
        <v>65</v>
      </c>
      <c r="O11" s="1" t="s">
        <v>66</v>
      </c>
      <c r="P11" s="1" t="s">
        <v>29</v>
      </c>
      <c r="S11" s="1" t="s">
        <v>67</v>
      </c>
      <c r="T11" s="1">
        <v>65</v>
      </c>
    </row>
    <row r="12" spans="1:20">
      <c r="A12" s="1">
        <f t="shared" si="1"/>
        <v>11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68</v>
      </c>
      <c r="G12" s="1" t="s">
        <v>25</v>
      </c>
      <c r="H12" s="1">
        <v>1</v>
      </c>
      <c r="I12" s="1">
        <f>IF(G12="","",VLOOKUP(G12,configuracion!$F$2:$G$20,2,0))</f>
        <v>50</v>
      </c>
      <c r="J12" s="1">
        <f t="shared" si="0"/>
        <v>18</v>
      </c>
      <c r="K12" s="1">
        <v>100</v>
      </c>
      <c r="L12" s="1">
        <v>36</v>
      </c>
      <c r="M12" s="1" t="s">
        <v>69</v>
      </c>
      <c r="N12" s="1" t="s">
        <v>57</v>
      </c>
      <c r="O12" s="1" t="s">
        <v>70</v>
      </c>
      <c r="P12" s="1" t="s">
        <v>57</v>
      </c>
      <c r="S12" s="1" t="s">
        <v>71</v>
      </c>
      <c r="T12" s="1">
        <v>56</v>
      </c>
    </row>
    <row r="13" spans="1:20">
      <c r="A13" s="1">
        <f t="shared" si="1"/>
        <v>12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72</v>
      </c>
      <c r="G13" s="1" t="s">
        <v>25</v>
      </c>
      <c r="H13" s="1">
        <v>1</v>
      </c>
      <c r="I13" s="1">
        <f>IF(G13="","",VLOOKUP(G13,configuracion!$F$2:$G$20,2,0))</f>
        <v>50</v>
      </c>
      <c r="J13" s="1">
        <f t="shared" si="0"/>
        <v>12.5</v>
      </c>
      <c r="K13" s="1">
        <v>100</v>
      </c>
      <c r="L13" s="1">
        <v>25</v>
      </c>
      <c r="M13" s="1" t="s">
        <v>73</v>
      </c>
      <c r="N13" s="1" t="s">
        <v>34</v>
      </c>
      <c r="O13" s="1" t="s">
        <v>37</v>
      </c>
      <c r="P13" s="1" t="s">
        <v>39</v>
      </c>
      <c r="S13" s="1" t="s">
        <v>74</v>
      </c>
      <c r="T13" s="1">
        <v>18</v>
      </c>
    </row>
    <row r="14" spans="1:20">
      <c r="A14" s="1">
        <f t="shared" si="1"/>
        <v>13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75</v>
      </c>
      <c r="G14" s="1" t="s">
        <v>25</v>
      </c>
      <c r="H14" s="1">
        <v>1</v>
      </c>
      <c r="I14" s="1">
        <f>IF(G14="","",VLOOKUP(G14,configuracion!$F$2:$G$20,2,0))</f>
        <v>50</v>
      </c>
      <c r="J14" s="1">
        <f t="shared" si="0"/>
        <v>12.5</v>
      </c>
      <c r="K14" s="1">
        <v>100</v>
      </c>
      <c r="L14" s="1">
        <v>25</v>
      </c>
      <c r="M14" s="1" t="s">
        <v>26</v>
      </c>
      <c r="N14" s="1" t="s">
        <v>43</v>
      </c>
      <c r="O14" s="1" t="s">
        <v>76</v>
      </c>
      <c r="P14" s="1" t="s">
        <v>77</v>
      </c>
      <c r="S14" s="1" t="s">
        <v>30</v>
      </c>
      <c r="T14" s="1">
        <v>27</v>
      </c>
    </row>
    <row r="15" spans="1:20">
      <c r="A15" s="1">
        <f t="shared" si="1"/>
        <v>14</v>
      </c>
      <c r="B15" s="1" t="s">
        <v>20</v>
      </c>
      <c r="C15" s="1" t="s">
        <v>21</v>
      </c>
      <c r="D15" s="1" t="s">
        <v>78</v>
      </c>
      <c r="E15" s="1" t="s">
        <v>79</v>
      </c>
      <c r="F15" s="1" t="s">
        <v>24</v>
      </c>
      <c r="G15" s="1" t="s">
        <v>80</v>
      </c>
      <c r="H15" s="1">
        <v>1</v>
      </c>
      <c r="I15" s="1">
        <f>IF(G15="","",VLOOKUP(G15,configuracion!$F$2:$G$20,2,0))</f>
        <v>150</v>
      </c>
      <c r="J15" s="1">
        <f t="shared" si="0"/>
        <v>28.5</v>
      </c>
      <c r="K15" s="1">
        <v>100</v>
      </c>
      <c r="L15" s="1">
        <v>19</v>
      </c>
      <c r="M15" s="1" t="s">
        <v>26</v>
      </c>
      <c r="N15" s="1" t="s">
        <v>27</v>
      </c>
      <c r="O15" s="1" t="s">
        <v>28</v>
      </c>
      <c r="P15" s="1" t="s">
        <v>29</v>
      </c>
      <c r="S15" s="1" t="s">
        <v>30</v>
      </c>
      <c r="T15" s="1">
        <v>179</v>
      </c>
    </row>
    <row r="16" spans="1:20">
      <c r="A16" s="1">
        <f t="shared" si="1"/>
        <v>15</v>
      </c>
      <c r="B16" s="1" t="s">
        <v>20</v>
      </c>
      <c r="C16" s="1" t="s">
        <v>21</v>
      </c>
      <c r="D16" s="1" t="s">
        <v>78</v>
      </c>
      <c r="E16" s="1" t="s">
        <v>79</v>
      </c>
      <c r="F16" s="1" t="s">
        <v>31</v>
      </c>
      <c r="G16" s="1" t="s">
        <v>80</v>
      </c>
      <c r="H16" s="1">
        <v>1</v>
      </c>
      <c r="I16" s="1">
        <f>IF(G16="","",VLOOKUP(G16,configuracion!$F$2:$G$20,2,0))</f>
        <v>150</v>
      </c>
      <c r="J16" s="1">
        <f t="shared" si="0"/>
        <v>34.5</v>
      </c>
      <c r="K16" s="1">
        <v>100</v>
      </c>
      <c r="L16" s="1">
        <v>23</v>
      </c>
      <c r="M16" s="1" t="s">
        <v>32</v>
      </c>
      <c r="N16" s="1" t="s">
        <v>33</v>
      </c>
      <c r="O16" s="1" t="s">
        <v>34</v>
      </c>
      <c r="P16" s="1" t="s">
        <v>35</v>
      </c>
      <c r="S16" s="1" t="s">
        <v>30</v>
      </c>
      <c r="T16" s="1">
        <v>4</v>
      </c>
    </row>
    <row r="17" spans="1:20">
      <c r="A17" s="1">
        <f t="shared" si="1"/>
        <v>16</v>
      </c>
      <c r="B17" s="1" t="s">
        <v>20</v>
      </c>
      <c r="C17" s="1" t="s">
        <v>21</v>
      </c>
      <c r="D17" s="1" t="s">
        <v>78</v>
      </c>
      <c r="E17" s="1" t="s">
        <v>79</v>
      </c>
      <c r="F17" s="1" t="s">
        <v>36</v>
      </c>
      <c r="G17" s="1" t="s">
        <v>80</v>
      </c>
      <c r="H17" s="1">
        <v>1</v>
      </c>
      <c r="I17" s="1">
        <f>IF(G17="","",VLOOKUP(G17,configuracion!$F$2:$G$20,2,0))</f>
        <v>150</v>
      </c>
      <c r="J17" s="1">
        <f t="shared" si="0"/>
        <v>16.5</v>
      </c>
      <c r="K17" s="1">
        <v>100</v>
      </c>
      <c r="L17" s="1">
        <v>11</v>
      </c>
      <c r="M17" s="1" t="s">
        <v>37</v>
      </c>
      <c r="N17" s="1" t="s">
        <v>29</v>
      </c>
      <c r="O17" s="1" t="s">
        <v>38</v>
      </c>
      <c r="P17" s="1" t="s">
        <v>39</v>
      </c>
      <c r="S17" s="1" t="s">
        <v>40</v>
      </c>
      <c r="T17" s="1">
        <v>41</v>
      </c>
    </row>
    <row r="18" spans="1:20">
      <c r="A18" s="1">
        <f t="shared" si="1"/>
        <v>17</v>
      </c>
      <c r="B18" s="1" t="s">
        <v>20</v>
      </c>
      <c r="C18" s="1" t="s">
        <v>21</v>
      </c>
      <c r="D18" s="1" t="s">
        <v>78</v>
      </c>
      <c r="E18" s="1" t="s">
        <v>79</v>
      </c>
      <c r="F18" s="1" t="s">
        <v>41</v>
      </c>
      <c r="G18" s="1" t="s">
        <v>80</v>
      </c>
      <c r="H18" s="1">
        <v>1</v>
      </c>
      <c r="I18" s="1">
        <f>IF(G18="","",VLOOKUP(G18,configuracion!$F$2:$G$20,2,0))</f>
        <v>150</v>
      </c>
      <c r="J18" s="1">
        <f t="shared" si="0"/>
        <v>34.5</v>
      </c>
      <c r="K18" s="1">
        <v>100</v>
      </c>
      <c r="L18" s="1">
        <v>23</v>
      </c>
      <c r="M18" s="1" t="s">
        <v>26</v>
      </c>
      <c r="N18" s="1" t="s">
        <v>42</v>
      </c>
      <c r="O18" s="1" t="s">
        <v>43</v>
      </c>
      <c r="P18" s="1" t="s">
        <v>40</v>
      </c>
      <c r="S18" s="1" t="s">
        <v>44</v>
      </c>
      <c r="T18" s="1">
        <v>46</v>
      </c>
    </row>
    <row r="19" spans="1:20">
      <c r="A19" s="1">
        <f t="shared" ref="A19:A28" si="2">ROW()-1</f>
        <v>18</v>
      </c>
      <c r="B19" s="1" t="s">
        <v>20</v>
      </c>
      <c r="C19" s="1" t="s">
        <v>21</v>
      </c>
      <c r="D19" s="1" t="s">
        <v>78</v>
      </c>
      <c r="E19" s="1" t="s">
        <v>79</v>
      </c>
      <c r="F19" s="1" t="s">
        <v>45</v>
      </c>
      <c r="G19" s="1" t="s">
        <v>80</v>
      </c>
      <c r="H19" s="1">
        <v>1</v>
      </c>
      <c r="I19" s="1">
        <f>IF(G19="","",VLOOKUP(G19,configuracion!$F$2:$G$20,2,0))</f>
        <v>150</v>
      </c>
      <c r="J19" s="1">
        <f t="shared" si="0"/>
        <v>25.5</v>
      </c>
      <c r="K19" s="1">
        <v>100</v>
      </c>
      <c r="L19" s="1">
        <v>17</v>
      </c>
      <c r="M19" s="1" t="s">
        <v>46</v>
      </c>
      <c r="N19" s="1" t="s">
        <v>29</v>
      </c>
      <c r="O19" s="1" t="s">
        <v>37</v>
      </c>
      <c r="P19" s="1" t="s">
        <v>29</v>
      </c>
      <c r="S19" s="1" t="s">
        <v>47</v>
      </c>
      <c r="T19" s="1">
        <v>22</v>
      </c>
    </row>
    <row r="20" spans="1:20">
      <c r="A20" s="1">
        <f t="shared" si="2"/>
        <v>19</v>
      </c>
      <c r="B20" s="1" t="s">
        <v>20</v>
      </c>
      <c r="C20" s="1" t="s">
        <v>21</v>
      </c>
      <c r="D20" s="1" t="s">
        <v>78</v>
      </c>
      <c r="E20" s="1" t="s">
        <v>79</v>
      </c>
      <c r="F20" s="1" t="s">
        <v>48</v>
      </c>
      <c r="G20" s="1" t="s">
        <v>80</v>
      </c>
      <c r="H20" s="1">
        <v>1</v>
      </c>
      <c r="I20" s="1">
        <f>IF(G20="","",VLOOKUP(G20,configuracion!$F$2:$G$20,2,0))</f>
        <v>150</v>
      </c>
      <c r="J20" s="1">
        <f t="shared" si="0"/>
        <v>34.5</v>
      </c>
      <c r="K20" s="1">
        <v>100</v>
      </c>
      <c r="L20" s="1">
        <v>23</v>
      </c>
      <c r="M20" s="1" t="s">
        <v>49</v>
      </c>
      <c r="N20" s="1" t="s">
        <v>50</v>
      </c>
      <c r="O20" s="1" t="s">
        <v>51</v>
      </c>
      <c r="P20" s="1" t="s">
        <v>50</v>
      </c>
      <c r="S20" s="1" t="s">
        <v>52</v>
      </c>
      <c r="T20" s="1">
        <v>79</v>
      </c>
    </row>
    <row r="21" spans="1:20">
      <c r="A21" s="1">
        <f t="shared" si="2"/>
        <v>20</v>
      </c>
      <c r="B21" s="1" t="s">
        <v>20</v>
      </c>
      <c r="C21" s="1" t="s">
        <v>21</v>
      </c>
      <c r="D21" s="1" t="s">
        <v>78</v>
      </c>
      <c r="E21" s="1" t="s">
        <v>79</v>
      </c>
      <c r="F21" s="1" t="s">
        <v>53</v>
      </c>
      <c r="G21" s="1" t="s">
        <v>80</v>
      </c>
      <c r="H21" s="1">
        <v>1</v>
      </c>
      <c r="I21" s="1">
        <f>IF(G21="","",VLOOKUP(G21,configuracion!$F$2:$G$20,2,0))</f>
        <v>150</v>
      </c>
      <c r="J21" s="1">
        <f t="shared" si="0"/>
        <v>73.5</v>
      </c>
      <c r="K21" s="1">
        <v>100</v>
      </c>
      <c r="L21" s="1">
        <v>49</v>
      </c>
      <c r="M21" s="1" t="s">
        <v>54</v>
      </c>
      <c r="N21" s="1" t="s">
        <v>38</v>
      </c>
      <c r="O21" s="1" t="s">
        <v>55</v>
      </c>
      <c r="P21" s="1" t="s">
        <v>42</v>
      </c>
      <c r="S21" s="1" t="s">
        <v>49</v>
      </c>
      <c r="T21" s="1">
        <v>38</v>
      </c>
    </row>
    <row r="22" spans="1:20">
      <c r="A22" s="1">
        <f t="shared" si="2"/>
        <v>21</v>
      </c>
      <c r="B22" s="1" t="s">
        <v>20</v>
      </c>
      <c r="C22" s="1" t="s">
        <v>21</v>
      </c>
      <c r="D22" s="1" t="s">
        <v>78</v>
      </c>
      <c r="E22" s="1" t="s">
        <v>79</v>
      </c>
      <c r="F22" s="1" t="s">
        <v>56</v>
      </c>
      <c r="G22" s="1" t="s">
        <v>80</v>
      </c>
      <c r="H22" s="1">
        <v>1</v>
      </c>
      <c r="I22" s="1">
        <f>IF(G22="","",VLOOKUP(G22,configuracion!$F$2:$G$20,2,0))</f>
        <v>150</v>
      </c>
      <c r="J22" s="1">
        <f t="shared" si="0"/>
        <v>22.5</v>
      </c>
      <c r="K22" s="1">
        <v>100</v>
      </c>
      <c r="L22" s="1">
        <v>15</v>
      </c>
      <c r="M22" s="1" t="s">
        <v>51</v>
      </c>
      <c r="N22" s="1" t="s">
        <v>57</v>
      </c>
      <c r="O22" s="1" t="s">
        <v>58</v>
      </c>
      <c r="P22" s="1" t="s">
        <v>29</v>
      </c>
      <c r="S22" s="1" t="s">
        <v>37</v>
      </c>
      <c r="T22" s="1">
        <v>28</v>
      </c>
    </row>
    <row r="23" spans="1:20">
      <c r="A23" s="1">
        <f t="shared" si="2"/>
        <v>22</v>
      </c>
      <c r="B23" s="1" t="s">
        <v>20</v>
      </c>
      <c r="C23" s="1" t="s">
        <v>21</v>
      </c>
      <c r="D23" s="1" t="s">
        <v>78</v>
      </c>
      <c r="E23" s="1" t="s">
        <v>79</v>
      </c>
      <c r="F23" s="1" t="s">
        <v>59</v>
      </c>
      <c r="G23" s="1" t="s">
        <v>80</v>
      </c>
      <c r="H23" s="1">
        <v>1</v>
      </c>
      <c r="I23" s="1">
        <f>IF(G23="","",VLOOKUP(G23,configuracion!$F$2:$G$20,2,0))</f>
        <v>150</v>
      </c>
      <c r="J23" s="1">
        <f t="shared" si="0"/>
        <v>105</v>
      </c>
      <c r="K23" s="1">
        <v>100</v>
      </c>
      <c r="L23" s="1">
        <v>70</v>
      </c>
      <c r="M23" s="1" t="s">
        <v>60</v>
      </c>
      <c r="N23" s="1" t="s">
        <v>61</v>
      </c>
      <c r="O23" s="1" t="s">
        <v>62</v>
      </c>
      <c r="P23" s="1" t="s">
        <v>42</v>
      </c>
      <c r="S23" s="1" t="s">
        <v>63</v>
      </c>
      <c r="T23" s="1">
        <v>31</v>
      </c>
    </row>
    <row r="24" spans="1:20">
      <c r="A24" s="1">
        <f t="shared" si="2"/>
        <v>23</v>
      </c>
      <c r="B24" s="1" t="s">
        <v>20</v>
      </c>
      <c r="C24" s="1" t="s">
        <v>21</v>
      </c>
      <c r="D24" s="1" t="s">
        <v>78</v>
      </c>
      <c r="E24" s="1" t="s">
        <v>79</v>
      </c>
      <c r="F24" s="1" t="s">
        <v>64</v>
      </c>
      <c r="G24" s="1" t="s">
        <v>80</v>
      </c>
      <c r="H24" s="1">
        <v>1</v>
      </c>
      <c r="I24" s="1">
        <f>IF(G24="","",VLOOKUP(G24,configuracion!$F$2:$G$20,2,0))</f>
        <v>150</v>
      </c>
      <c r="J24" s="1">
        <f t="shared" si="0"/>
        <v>19.5</v>
      </c>
      <c r="K24" s="1">
        <v>100</v>
      </c>
      <c r="L24" s="1">
        <v>13</v>
      </c>
      <c r="M24" s="1" t="s">
        <v>52</v>
      </c>
      <c r="N24" s="1" t="s">
        <v>65</v>
      </c>
      <c r="O24" s="1" t="s">
        <v>66</v>
      </c>
      <c r="P24" s="1" t="s">
        <v>29</v>
      </c>
      <c r="S24" s="1" t="s">
        <v>67</v>
      </c>
      <c r="T24" s="1">
        <v>65</v>
      </c>
    </row>
    <row r="25" spans="1:20">
      <c r="A25" s="1">
        <f t="shared" si="2"/>
        <v>24</v>
      </c>
      <c r="B25" s="1" t="s">
        <v>20</v>
      </c>
      <c r="C25" s="1" t="s">
        <v>21</v>
      </c>
      <c r="D25" s="1" t="s">
        <v>78</v>
      </c>
      <c r="E25" s="1" t="s">
        <v>79</v>
      </c>
      <c r="F25" s="1" t="s">
        <v>68</v>
      </c>
      <c r="G25" s="1" t="s">
        <v>80</v>
      </c>
      <c r="H25" s="1">
        <v>1</v>
      </c>
      <c r="I25" s="1">
        <f>IF(G25="","",VLOOKUP(G25,configuracion!$F$2:$G$20,2,0))</f>
        <v>150</v>
      </c>
      <c r="J25" s="1">
        <f t="shared" si="0"/>
        <v>54</v>
      </c>
      <c r="K25" s="1">
        <v>100</v>
      </c>
      <c r="L25" s="1">
        <v>36</v>
      </c>
      <c r="M25" s="1" t="s">
        <v>69</v>
      </c>
      <c r="N25" s="1" t="s">
        <v>57</v>
      </c>
      <c r="O25" s="1" t="s">
        <v>70</v>
      </c>
      <c r="P25" s="1" t="s">
        <v>57</v>
      </c>
      <c r="S25" s="1" t="s">
        <v>71</v>
      </c>
      <c r="T25" s="1">
        <v>56</v>
      </c>
    </row>
    <row r="26" spans="1:20">
      <c r="A26" s="1">
        <f t="shared" si="2"/>
        <v>25</v>
      </c>
      <c r="B26" s="1" t="s">
        <v>20</v>
      </c>
      <c r="C26" s="1" t="s">
        <v>21</v>
      </c>
      <c r="D26" s="1" t="s">
        <v>78</v>
      </c>
      <c r="E26" s="1" t="s">
        <v>79</v>
      </c>
      <c r="F26" s="1" t="s">
        <v>72</v>
      </c>
      <c r="G26" s="1" t="s">
        <v>80</v>
      </c>
      <c r="H26" s="1">
        <v>1</v>
      </c>
      <c r="I26" s="1">
        <f>IF(G26="","",VLOOKUP(G26,configuracion!$F$2:$G$20,2,0))</f>
        <v>150</v>
      </c>
      <c r="J26" s="1">
        <f t="shared" si="0"/>
        <v>37.5</v>
      </c>
      <c r="K26" s="1">
        <v>100</v>
      </c>
      <c r="L26" s="1">
        <v>25</v>
      </c>
      <c r="M26" s="1" t="s">
        <v>73</v>
      </c>
      <c r="N26" s="1" t="s">
        <v>34</v>
      </c>
      <c r="O26" s="1" t="s">
        <v>37</v>
      </c>
      <c r="P26" s="1" t="s">
        <v>39</v>
      </c>
      <c r="S26" s="1" t="s">
        <v>74</v>
      </c>
      <c r="T26" s="1">
        <v>18</v>
      </c>
    </row>
    <row r="27" spans="1:20">
      <c r="A27" s="1">
        <f t="shared" si="2"/>
        <v>26</v>
      </c>
      <c r="B27" s="1" t="s">
        <v>20</v>
      </c>
      <c r="C27" s="1" t="s">
        <v>21</v>
      </c>
      <c r="D27" s="1" t="s">
        <v>78</v>
      </c>
      <c r="E27" s="1" t="s">
        <v>79</v>
      </c>
      <c r="F27" s="1" t="s">
        <v>75</v>
      </c>
      <c r="G27" s="1" t="s">
        <v>80</v>
      </c>
      <c r="H27" s="1">
        <v>1</v>
      </c>
      <c r="I27" s="1">
        <f>IF(G27="","",VLOOKUP(G27,configuracion!$F$2:$G$20,2,0))</f>
        <v>150</v>
      </c>
      <c r="J27" s="1">
        <f t="shared" si="0"/>
        <v>37.5</v>
      </c>
      <c r="K27" s="1">
        <v>100</v>
      </c>
      <c r="L27" s="1">
        <v>25</v>
      </c>
      <c r="M27" s="1" t="s">
        <v>26</v>
      </c>
      <c r="N27" s="1" t="s">
        <v>43</v>
      </c>
      <c r="O27" s="1" t="s">
        <v>76</v>
      </c>
      <c r="P27" s="1" t="s">
        <v>77</v>
      </c>
      <c r="S27" s="1" t="s">
        <v>30</v>
      </c>
      <c r="T27" s="1">
        <v>27</v>
      </c>
    </row>
    <row r="28" spans="1:20">
      <c r="A28" s="1">
        <f t="shared" si="2"/>
        <v>27</v>
      </c>
      <c r="B28" s="1" t="s">
        <v>20</v>
      </c>
      <c r="C28" s="1" t="s">
        <v>21</v>
      </c>
      <c r="D28" s="1" t="s">
        <v>78</v>
      </c>
      <c r="E28" s="1" t="s">
        <v>81</v>
      </c>
      <c r="F28" s="1" t="s">
        <v>24</v>
      </c>
      <c r="G28" s="1" t="s">
        <v>80</v>
      </c>
      <c r="H28" s="1">
        <v>1</v>
      </c>
      <c r="I28" s="1">
        <f>IF(G28="","",VLOOKUP(G28,configuracion!$F$2:$G$20,2,0))</f>
        <v>150</v>
      </c>
      <c r="J28" s="1">
        <f t="shared" ref="J28:J53" si="3">(L28*(H28*I28)/K28)</f>
        <v>28.5</v>
      </c>
      <c r="K28" s="1">
        <v>100</v>
      </c>
      <c r="L28" s="1">
        <v>19</v>
      </c>
      <c r="M28" s="1" t="s">
        <v>26</v>
      </c>
      <c r="N28" s="1" t="s">
        <v>27</v>
      </c>
      <c r="O28" s="1" t="s">
        <v>28</v>
      </c>
      <c r="P28" s="1" t="s">
        <v>29</v>
      </c>
      <c r="S28" s="1" t="s">
        <v>30</v>
      </c>
      <c r="T28" s="1">
        <v>179</v>
      </c>
    </row>
    <row r="29" spans="1:20">
      <c r="A29" s="1">
        <f t="shared" ref="A29:A40" si="4">ROW()-1</f>
        <v>28</v>
      </c>
      <c r="B29" s="1" t="s">
        <v>20</v>
      </c>
      <c r="C29" s="1" t="s">
        <v>21</v>
      </c>
      <c r="D29" s="1" t="s">
        <v>78</v>
      </c>
      <c r="E29" s="1" t="s">
        <v>81</v>
      </c>
      <c r="F29" s="1" t="s">
        <v>31</v>
      </c>
      <c r="G29" s="1" t="s">
        <v>80</v>
      </c>
      <c r="H29" s="1">
        <v>1</v>
      </c>
      <c r="I29" s="1">
        <f>IF(G29="","",VLOOKUP(G29,configuracion!$F$2:$G$20,2,0))</f>
        <v>150</v>
      </c>
      <c r="J29" s="1">
        <f t="shared" si="3"/>
        <v>34.5</v>
      </c>
      <c r="K29" s="1">
        <v>100</v>
      </c>
      <c r="L29" s="1">
        <v>23</v>
      </c>
      <c r="M29" s="1" t="s">
        <v>32</v>
      </c>
      <c r="N29" s="1" t="s">
        <v>33</v>
      </c>
      <c r="O29" s="1" t="s">
        <v>34</v>
      </c>
      <c r="P29" s="1" t="s">
        <v>35</v>
      </c>
      <c r="S29" s="1" t="s">
        <v>30</v>
      </c>
      <c r="T29" s="1">
        <v>4</v>
      </c>
    </row>
    <row r="30" spans="1:20">
      <c r="A30" s="1">
        <f t="shared" si="4"/>
        <v>29</v>
      </c>
      <c r="B30" s="1" t="s">
        <v>20</v>
      </c>
      <c r="C30" s="1" t="s">
        <v>21</v>
      </c>
      <c r="D30" s="1" t="s">
        <v>78</v>
      </c>
      <c r="E30" s="1" t="s">
        <v>81</v>
      </c>
      <c r="F30" s="1" t="s">
        <v>36</v>
      </c>
      <c r="G30" s="1" t="s">
        <v>80</v>
      </c>
      <c r="H30" s="1">
        <v>1</v>
      </c>
      <c r="I30" s="1">
        <f>IF(G30="","",VLOOKUP(G30,configuracion!$F$2:$G$20,2,0))</f>
        <v>150</v>
      </c>
      <c r="J30" s="1">
        <f t="shared" si="3"/>
        <v>16.5</v>
      </c>
      <c r="K30" s="1">
        <v>100</v>
      </c>
      <c r="L30" s="1">
        <v>11</v>
      </c>
      <c r="M30" s="1" t="s">
        <v>37</v>
      </c>
      <c r="N30" s="1" t="s">
        <v>29</v>
      </c>
      <c r="O30" s="1" t="s">
        <v>38</v>
      </c>
      <c r="P30" s="1" t="s">
        <v>39</v>
      </c>
      <c r="S30" s="1" t="s">
        <v>40</v>
      </c>
      <c r="T30" s="1">
        <v>41</v>
      </c>
    </row>
    <row r="31" spans="1:20">
      <c r="A31" s="1">
        <f t="shared" si="4"/>
        <v>30</v>
      </c>
      <c r="B31" s="1" t="s">
        <v>20</v>
      </c>
      <c r="C31" s="1" t="s">
        <v>21</v>
      </c>
      <c r="D31" s="1" t="s">
        <v>78</v>
      </c>
      <c r="E31" s="1" t="s">
        <v>81</v>
      </c>
      <c r="F31" s="1" t="s">
        <v>41</v>
      </c>
      <c r="G31" s="1" t="s">
        <v>80</v>
      </c>
      <c r="H31" s="1">
        <v>1</v>
      </c>
      <c r="I31" s="1">
        <f>IF(G31="","",VLOOKUP(G31,configuracion!$F$2:$G$20,2,0))</f>
        <v>150</v>
      </c>
      <c r="J31" s="1">
        <f t="shared" si="3"/>
        <v>34.5</v>
      </c>
      <c r="K31" s="1">
        <v>100</v>
      </c>
      <c r="L31" s="1">
        <v>23</v>
      </c>
      <c r="M31" s="1" t="s">
        <v>26</v>
      </c>
      <c r="N31" s="1" t="s">
        <v>42</v>
      </c>
      <c r="O31" s="1" t="s">
        <v>43</v>
      </c>
      <c r="P31" s="1" t="s">
        <v>40</v>
      </c>
      <c r="S31" s="1" t="s">
        <v>44</v>
      </c>
      <c r="T31" s="1">
        <v>46</v>
      </c>
    </row>
    <row r="32" spans="1:20">
      <c r="A32" s="1">
        <f t="shared" si="4"/>
        <v>31</v>
      </c>
      <c r="B32" s="1" t="s">
        <v>20</v>
      </c>
      <c r="C32" s="1" t="s">
        <v>21</v>
      </c>
      <c r="D32" s="1" t="s">
        <v>78</v>
      </c>
      <c r="E32" s="1" t="s">
        <v>81</v>
      </c>
      <c r="F32" s="1" t="s">
        <v>45</v>
      </c>
      <c r="G32" s="1" t="s">
        <v>80</v>
      </c>
      <c r="H32" s="1">
        <v>1</v>
      </c>
      <c r="I32" s="1">
        <f>IF(G32="","",VLOOKUP(G32,configuracion!$F$2:$G$20,2,0))</f>
        <v>150</v>
      </c>
      <c r="J32" s="1">
        <f t="shared" si="3"/>
        <v>25.5</v>
      </c>
      <c r="K32" s="1">
        <v>100</v>
      </c>
      <c r="L32" s="1">
        <v>17</v>
      </c>
      <c r="M32" s="1" t="s">
        <v>46</v>
      </c>
      <c r="N32" s="1" t="s">
        <v>29</v>
      </c>
      <c r="O32" s="1" t="s">
        <v>37</v>
      </c>
      <c r="P32" s="1" t="s">
        <v>29</v>
      </c>
      <c r="S32" s="1" t="s">
        <v>47</v>
      </c>
      <c r="T32" s="1">
        <v>22</v>
      </c>
    </row>
    <row r="33" spans="1:20">
      <c r="A33" s="1">
        <f t="shared" si="4"/>
        <v>32</v>
      </c>
      <c r="B33" s="1" t="s">
        <v>20</v>
      </c>
      <c r="C33" s="1" t="s">
        <v>21</v>
      </c>
      <c r="D33" s="1" t="s">
        <v>78</v>
      </c>
      <c r="E33" s="1" t="s">
        <v>81</v>
      </c>
      <c r="F33" s="1" t="s">
        <v>48</v>
      </c>
      <c r="G33" s="1" t="s">
        <v>80</v>
      </c>
      <c r="H33" s="1">
        <v>1</v>
      </c>
      <c r="I33" s="1">
        <f>IF(G33="","",VLOOKUP(G33,configuracion!$F$2:$G$20,2,0))</f>
        <v>150</v>
      </c>
      <c r="J33" s="1">
        <f t="shared" si="3"/>
        <v>34.5</v>
      </c>
      <c r="K33" s="1">
        <v>100</v>
      </c>
      <c r="L33" s="1">
        <v>23</v>
      </c>
      <c r="M33" s="1" t="s">
        <v>49</v>
      </c>
      <c r="N33" s="1" t="s">
        <v>50</v>
      </c>
      <c r="O33" s="1" t="s">
        <v>51</v>
      </c>
      <c r="P33" s="1" t="s">
        <v>50</v>
      </c>
      <c r="S33" s="1" t="s">
        <v>52</v>
      </c>
      <c r="T33" s="1">
        <v>79</v>
      </c>
    </row>
    <row r="34" spans="1:20">
      <c r="A34" s="1">
        <f t="shared" si="4"/>
        <v>33</v>
      </c>
      <c r="B34" s="1" t="s">
        <v>20</v>
      </c>
      <c r="C34" s="1" t="s">
        <v>21</v>
      </c>
      <c r="D34" s="1" t="s">
        <v>78</v>
      </c>
      <c r="E34" s="1" t="s">
        <v>81</v>
      </c>
      <c r="F34" s="1" t="s">
        <v>53</v>
      </c>
      <c r="G34" s="1" t="s">
        <v>80</v>
      </c>
      <c r="H34" s="1">
        <v>1</v>
      </c>
      <c r="I34" s="1">
        <f>IF(G34="","",VLOOKUP(G34,configuracion!$F$2:$G$20,2,0))</f>
        <v>150</v>
      </c>
      <c r="J34" s="1">
        <f t="shared" si="3"/>
        <v>73.5</v>
      </c>
      <c r="K34" s="1">
        <v>100</v>
      </c>
      <c r="L34" s="1">
        <v>49</v>
      </c>
      <c r="M34" s="1" t="s">
        <v>54</v>
      </c>
      <c r="N34" s="1" t="s">
        <v>38</v>
      </c>
      <c r="O34" s="1" t="s">
        <v>55</v>
      </c>
      <c r="P34" s="1" t="s">
        <v>42</v>
      </c>
      <c r="S34" s="1" t="s">
        <v>49</v>
      </c>
      <c r="T34" s="1">
        <v>38</v>
      </c>
    </row>
    <row r="35" spans="1:20">
      <c r="A35" s="1">
        <f t="shared" si="4"/>
        <v>34</v>
      </c>
      <c r="B35" s="1" t="s">
        <v>20</v>
      </c>
      <c r="C35" s="1" t="s">
        <v>21</v>
      </c>
      <c r="D35" s="1" t="s">
        <v>78</v>
      </c>
      <c r="E35" s="1" t="s">
        <v>81</v>
      </c>
      <c r="F35" s="1" t="s">
        <v>56</v>
      </c>
      <c r="G35" s="1" t="s">
        <v>80</v>
      </c>
      <c r="H35" s="1">
        <v>1</v>
      </c>
      <c r="I35" s="1">
        <f>IF(G35="","",VLOOKUP(G35,configuracion!$F$2:$G$20,2,0))</f>
        <v>150</v>
      </c>
      <c r="J35" s="1">
        <f t="shared" si="3"/>
        <v>22.5</v>
      </c>
      <c r="K35" s="1">
        <v>100</v>
      </c>
      <c r="L35" s="1">
        <v>15</v>
      </c>
      <c r="M35" s="1" t="s">
        <v>51</v>
      </c>
      <c r="N35" s="1" t="s">
        <v>57</v>
      </c>
      <c r="O35" s="1" t="s">
        <v>58</v>
      </c>
      <c r="P35" s="1" t="s">
        <v>29</v>
      </c>
      <c r="S35" s="1" t="s">
        <v>37</v>
      </c>
      <c r="T35" s="1">
        <v>28</v>
      </c>
    </row>
    <row r="36" spans="1:20">
      <c r="A36" s="1">
        <f t="shared" si="4"/>
        <v>35</v>
      </c>
      <c r="B36" s="1" t="s">
        <v>20</v>
      </c>
      <c r="C36" s="1" t="s">
        <v>21</v>
      </c>
      <c r="D36" s="1" t="s">
        <v>78</v>
      </c>
      <c r="E36" s="1" t="s">
        <v>81</v>
      </c>
      <c r="F36" s="1" t="s">
        <v>59</v>
      </c>
      <c r="G36" s="1" t="s">
        <v>80</v>
      </c>
      <c r="H36" s="1">
        <v>1</v>
      </c>
      <c r="I36" s="1">
        <f>IF(G36="","",VLOOKUP(G36,configuracion!$F$2:$G$20,2,0))</f>
        <v>150</v>
      </c>
      <c r="J36" s="1">
        <f t="shared" si="3"/>
        <v>105</v>
      </c>
      <c r="K36" s="1">
        <v>100</v>
      </c>
      <c r="L36" s="1">
        <v>70</v>
      </c>
      <c r="M36" s="1" t="s">
        <v>60</v>
      </c>
      <c r="N36" s="1" t="s">
        <v>61</v>
      </c>
      <c r="O36" s="1" t="s">
        <v>62</v>
      </c>
      <c r="P36" s="1" t="s">
        <v>42</v>
      </c>
      <c r="S36" s="1" t="s">
        <v>63</v>
      </c>
      <c r="T36" s="1">
        <v>31</v>
      </c>
    </row>
    <row r="37" spans="1:20">
      <c r="A37" s="1">
        <f t="shared" si="4"/>
        <v>36</v>
      </c>
      <c r="B37" s="1" t="s">
        <v>20</v>
      </c>
      <c r="C37" s="1" t="s">
        <v>21</v>
      </c>
      <c r="D37" s="1" t="s">
        <v>78</v>
      </c>
      <c r="E37" s="1" t="s">
        <v>81</v>
      </c>
      <c r="F37" s="1" t="s">
        <v>64</v>
      </c>
      <c r="G37" s="1" t="s">
        <v>80</v>
      </c>
      <c r="H37" s="1">
        <v>1</v>
      </c>
      <c r="I37" s="1">
        <f>IF(G37="","",VLOOKUP(G37,configuracion!$F$2:$G$20,2,0))</f>
        <v>150</v>
      </c>
      <c r="J37" s="1">
        <f t="shared" si="3"/>
        <v>19.5</v>
      </c>
      <c r="K37" s="1">
        <v>100</v>
      </c>
      <c r="L37" s="1">
        <v>13</v>
      </c>
      <c r="M37" s="1" t="s">
        <v>52</v>
      </c>
      <c r="N37" s="1" t="s">
        <v>65</v>
      </c>
      <c r="O37" s="1" t="s">
        <v>66</v>
      </c>
      <c r="P37" s="1" t="s">
        <v>29</v>
      </c>
      <c r="S37" s="1" t="s">
        <v>67</v>
      </c>
      <c r="T37" s="1">
        <v>65</v>
      </c>
    </row>
    <row r="38" spans="1:20">
      <c r="A38" s="1">
        <f t="shared" si="4"/>
        <v>37</v>
      </c>
      <c r="B38" s="1" t="s">
        <v>20</v>
      </c>
      <c r="C38" s="1" t="s">
        <v>21</v>
      </c>
      <c r="D38" s="1" t="s">
        <v>78</v>
      </c>
      <c r="E38" s="1" t="s">
        <v>81</v>
      </c>
      <c r="F38" s="1" t="s">
        <v>68</v>
      </c>
      <c r="G38" s="1" t="s">
        <v>80</v>
      </c>
      <c r="H38" s="1">
        <v>1</v>
      </c>
      <c r="I38" s="1">
        <f>IF(G38="","",VLOOKUP(G38,configuracion!$F$2:$G$20,2,0))</f>
        <v>150</v>
      </c>
      <c r="J38" s="1">
        <f t="shared" si="3"/>
        <v>54</v>
      </c>
      <c r="K38" s="1">
        <v>100</v>
      </c>
      <c r="L38" s="1">
        <v>36</v>
      </c>
      <c r="M38" s="1" t="s">
        <v>69</v>
      </c>
      <c r="N38" s="1" t="s">
        <v>57</v>
      </c>
      <c r="O38" s="1" t="s">
        <v>70</v>
      </c>
      <c r="P38" s="1" t="s">
        <v>57</v>
      </c>
      <c r="S38" s="1" t="s">
        <v>71</v>
      </c>
      <c r="T38" s="1">
        <v>56</v>
      </c>
    </row>
    <row r="39" spans="1:20">
      <c r="A39" s="1">
        <f t="shared" si="4"/>
        <v>38</v>
      </c>
      <c r="B39" s="1" t="s">
        <v>20</v>
      </c>
      <c r="C39" s="1" t="s">
        <v>21</v>
      </c>
      <c r="D39" s="1" t="s">
        <v>78</v>
      </c>
      <c r="E39" s="1" t="s">
        <v>81</v>
      </c>
      <c r="F39" s="1" t="s">
        <v>72</v>
      </c>
      <c r="G39" s="1" t="s">
        <v>80</v>
      </c>
      <c r="H39" s="1">
        <v>1</v>
      </c>
      <c r="I39" s="1">
        <f>IF(G39="","",VLOOKUP(G39,configuracion!$F$2:$G$20,2,0))</f>
        <v>150</v>
      </c>
      <c r="J39" s="1">
        <f t="shared" si="3"/>
        <v>37.5</v>
      </c>
      <c r="K39" s="1">
        <v>100</v>
      </c>
      <c r="L39" s="1">
        <v>25</v>
      </c>
      <c r="M39" s="1" t="s">
        <v>73</v>
      </c>
      <c r="N39" s="1" t="s">
        <v>34</v>
      </c>
      <c r="O39" s="1" t="s">
        <v>37</v>
      </c>
      <c r="P39" s="1" t="s">
        <v>39</v>
      </c>
      <c r="S39" s="1" t="s">
        <v>74</v>
      </c>
      <c r="T39" s="1">
        <v>18</v>
      </c>
    </row>
    <row r="40" spans="1:20">
      <c r="A40" s="1">
        <f t="shared" si="4"/>
        <v>39</v>
      </c>
      <c r="B40" s="1" t="s">
        <v>20</v>
      </c>
      <c r="C40" s="1" t="s">
        <v>21</v>
      </c>
      <c r="D40" s="1" t="s">
        <v>82</v>
      </c>
      <c r="E40" s="1" t="s">
        <v>81</v>
      </c>
      <c r="F40" s="1" t="s">
        <v>75</v>
      </c>
      <c r="G40" s="1" t="s">
        <v>80</v>
      </c>
      <c r="H40" s="1">
        <v>1</v>
      </c>
      <c r="I40" s="1">
        <f>IF(G40="","",VLOOKUP(G40,configuracion!$F$2:$G$20,2,0))</f>
        <v>150</v>
      </c>
      <c r="J40" s="1">
        <f t="shared" si="3"/>
        <v>37.5</v>
      </c>
      <c r="K40" s="1">
        <v>100</v>
      </c>
      <c r="L40" s="1">
        <v>25</v>
      </c>
      <c r="M40" s="1" t="s">
        <v>26</v>
      </c>
      <c r="N40" s="1" t="s">
        <v>43</v>
      </c>
      <c r="O40" s="1" t="s">
        <v>76</v>
      </c>
      <c r="P40" s="1" t="s">
        <v>77</v>
      </c>
      <c r="S40" s="1" t="s">
        <v>30</v>
      </c>
      <c r="T40" s="1">
        <v>27</v>
      </c>
    </row>
    <row r="41" spans="1:20">
      <c r="A41" s="1">
        <f t="shared" ref="A41:A53" si="5">ROW()-1</f>
        <v>40</v>
      </c>
      <c r="B41" s="1" t="s">
        <v>20</v>
      </c>
      <c r="C41" s="1" t="s">
        <v>21</v>
      </c>
      <c r="D41" s="1" t="s">
        <v>82</v>
      </c>
      <c r="E41" s="1" t="s">
        <v>83</v>
      </c>
      <c r="F41" s="1" t="s">
        <v>24</v>
      </c>
      <c r="G41" s="1" t="s">
        <v>84</v>
      </c>
      <c r="H41" s="1">
        <v>1</v>
      </c>
      <c r="I41" s="1">
        <f>IF(G41="","",VLOOKUP(G41,configuracion!$F$2:$G$20,2,0))</f>
        <v>500</v>
      </c>
      <c r="J41" s="1">
        <f t="shared" si="3"/>
        <v>95</v>
      </c>
      <c r="K41" s="1">
        <v>100</v>
      </c>
      <c r="L41" s="1">
        <v>19</v>
      </c>
      <c r="M41" s="1" t="s">
        <v>26</v>
      </c>
      <c r="N41" s="1" t="s">
        <v>27</v>
      </c>
      <c r="O41" s="1" t="s">
        <v>28</v>
      </c>
      <c r="P41" s="1" t="s">
        <v>29</v>
      </c>
      <c r="S41" s="1" t="s">
        <v>30</v>
      </c>
      <c r="T41" s="1">
        <v>179</v>
      </c>
    </row>
    <row r="42" spans="1:20">
      <c r="A42" s="1">
        <f t="shared" si="5"/>
        <v>41</v>
      </c>
      <c r="B42" s="1" t="s">
        <v>20</v>
      </c>
      <c r="C42" s="1" t="s">
        <v>21</v>
      </c>
      <c r="D42" s="1" t="s">
        <v>82</v>
      </c>
      <c r="E42" s="1" t="s">
        <v>83</v>
      </c>
      <c r="F42" s="1" t="s">
        <v>31</v>
      </c>
      <c r="G42" s="1" t="s">
        <v>84</v>
      </c>
      <c r="H42" s="1">
        <v>1</v>
      </c>
      <c r="I42" s="1">
        <f>IF(G42="","",VLOOKUP(G42,configuracion!$F$2:$G$20,2,0))</f>
        <v>500</v>
      </c>
      <c r="J42" s="1">
        <f t="shared" si="3"/>
        <v>115</v>
      </c>
      <c r="K42" s="1">
        <v>100</v>
      </c>
      <c r="L42" s="1">
        <v>23</v>
      </c>
      <c r="M42" s="1" t="s">
        <v>32</v>
      </c>
      <c r="N42" s="1" t="s">
        <v>33</v>
      </c>
      <c r="O42" s="1" t="s">
        <v>34</v>
      </c>
      <c r="P42" s="1" t="s">
        <v>35</v>
      </c>
      <c r="S42" s="1" t="s">
        <v>30</v>
      </c>
      <c r="T42" s="1">
        <v>4</v>
      </c>
    </row>
    <row r="43" spans="1:20">
      <c r="A43" s="1">
        <f t="shared" si="5"/>
        <v>42</v>
      </c>
      <c r="B43" s="1" t="s">
        <v>20</v>
      </c>
      <c r="C43" s="1" t="s">
        <v>21</v>
      </c>
      <c r="D43" s="1" t="s">
        <v>82</v>
      </c>
      <c r="E43" s="1" t="s">
        <v>83</v>
      </c>
      <c r="F43" s="1" t="s">
        <v>36</v>
      </c>
      <c r="G43" s="1" t="s">
        <v>84</v>
      </c>
      <c r="H43" s="1">
        <v>1</v>
      </c>
      <c r="I43" s="1">
        <f>IF(G43="","",VLOOKUP(G43,configuracion!$F$2:$G$20,2,0))</f>
        <v>500</v>
      </c>
      <c r="J43" s="1">
        <f t="shared" si="3"/>
        <v>55</v>
      </c>
      <c r="K43" s="1">
        <v>100</v>
      </c>
      <c r="L43" s="1">
        <v>11</v>
      </c>
      <c r="M43" s="1" t="s">
        <v>37</v>
      </c>
      <c r="N43" s="1" t="s">
        <v>29</v>
      </c>
      <c r="O43" s="1" t="s">
        <v>38</v>
      </c>
      <c r="P43" s="1" t="s">
        <v>39</v>
      </c>
      <c r="S43" s="1" t="s">
        <v>40</v>
      </c>
      <c r="T43" s="1">
        <v>41</v>
      </c>
    </row>
    <row r="44" spans="1:20">
      <c r="A44" s="1">
        <f t="shared" si="5"/>
        <v>43</v>
      </c>
      <c r="B44" s="1" t="s">
        <v>20</v>
      </c>
      <c r="C44" s="1" t="s">
        <v>21</v>
      </c>
      <c r="D44" s="1" t="s">
        <v>82</v>
      </c>
      <c r="E44" s="1" t="s">
        <v>83</v>
      </c>
      <c r="F44" s="1" t="s">
        <v>41</v>
      </c>
      <c r="G44" s="1" t="s">
        <v>84</v>
      </c>
      <c r="H44" s="1">
        <v>1</v>
      </c>
      <c r="I44" s="1">
        <f>IF(G44="","",VLOOKUP(G44,configuracion!$F$2:$G$20,2,0))</f>
        <v>500</v>
      </c>
      <c r="J44" s="1">
        <f t="shared" si="3"/>
        <v>115</v>
      </c>
      <c r="K44" s="1">
        <v>100</v>
      </c>
      <c r="L44" s="1">
        <v>23</v>
      </c>
      <c r="M44" s="1" t="s">
        <v>26</v>
      </c>
      <c r="N44" s="1" t="s">
        <v>42</v>
      </c>
      <c r="O44" s="1" t="s">
        <v>43</v>
      </c>
      <c r="P44" s="1" t="s">
        <v>40</v>
      </c>
      <c r="S44" s="1" t="s">
        <v>44</v>
      </c>
      <c r="T44" s="1">
        <v>46</v>
      </c>
    </row>
    <row r="45" spans="1:20">
      <c r="A45" s="1">
        <f t="shared" si="5"/>
        <v>44</v>
      </c>
      <c r="B45" s="1" t="s">
        <v>20</v>
      </c>
      <c r="C45" s="1" t="s">
        <v>21</v>
      </c>
      <c r="D45" s="1" t="s">
        <v>82</v>
      </c>
      <c r="E45" s="1" t="s">
        <v>83</v>
      </c>
      <c r="F45" s="1" t="s">
        <v>45</v>
      </c>
      <c r="G45" s="1" t="s">
        <v>84</v>
      </c>
      <c r="H45" s="1">
        <v>1</v>
      </c>
      <c r="I45" s="1">
        <f>IF(G45="","",VLOOKUP(G45,configuracion!$F$2:$G$20,2,0))</f>
        <v>500</v>
      </c>
      <c r="J45" s="1">
        <f t="shared" si="3"/>
        <v>85</v>
      </c>
      <c r="K45" s="1">
        <v>100</v>
      </c>
      <c r="L45" s="1">
        <v>17</v>
      </c>
      <c r="M45" s="1" t="s">
        <v>46</v>
      </c>
      <c r="N45" s="1" t="s">
        <v>29</v>
      </c>
      <c r="O45" s="1" t="s">
        <v>37</v>
      </c>
      <c r="P45" s="1" t="s">
        <v>29</v>
      </c>
      <c r="S45" s="1" t="s">
        <v>47</v>
      </c>
      <c r="T45" s="1">
        <v>22</v>
      </c>
    </row>
    <row r="46" spans="1:20">
      <c r="A46" s="1">
        <f t="shared" si="5"/>
        <v>45</v>
      </c>
      <c r="B46" s="1" t="s">
        <v>20</v>
      </c>
      <c r="C46" s="1" t="s">
        <v>21</v>
      </c>
      <c r="D46" s="1" t="s">
        <v>82</v>
      </c>
      <c r="E46" s="1" t="s">
        <v>83</v>
      </c>
      <c r="F46" s="1" t="s">
        <v>48</v>
      </c>
      <c r="G46" s="1" t="s">
        <v>84</v>
      </c>
      <c r="H46" s="1">
        <v>1</v>
      </c>
      <c r="I46" s="1">
        <f>IF(G46="","",VLOOKUP(G46,configuracion!$F$2:$G$20,2,0))</f>
        <v>500</v>
      </c>
      <c r="J46" s="1">
        <f t="shared" si="3"/>
        <v>115</v>
      </c>
      <c r="K46" s="1">
        <v>100</v>
      </c>
      <c r="L46" s="1">
        <v>23</v>
      </c>
      <c r="M46" s="1" t="s">
        <v>49</v>
      </c>
      <c r="N46" s="1" t="s">
        <v>50</v>
      </c>
      <c r="O46" s="1" t="s">
        <v>51</v>
      </c>
      <c r="P46" s="1" t="s">
        <v>50</v>
      </c>
      <c r="S46" s="1" t="s">
        <v>52</v>
      </c>
      <c r="T46" s="1">
        <v>79</v>
      </c>
    </row>
    <row r="47" spans="1:20">
      <c r="A47" s="1">
        <f t="shared" si="5"/>
        <v>46</v>
      </c>
      <c r="B47" s="1" t="s">
        <v>20</v>
      </c>
      <c r="C47" s="1" t="s">
        <v>21</v>
      </c>
      <c r="D47" s="1" t="s">
        <v>82</v>
      </c>
      <c r="E47" s="1" t="s">
        <v>83</v>
      </c>
      <c r="F47" s="1" t="s">
        <v>53</v>
      </c>
      <c r="G47" s="1" t="s">
        <v>84</v>
      </c>
      <c r="H47" s="1">
        <v>1</v>
      </c>
      <c r="I47" s="1">
        <f>IF(G47="","",VLOOKUP(G47,configuracion!$F$2:$G$20,2,0))</f>
        <v>500</v>
      </c>
      <c r="J47" s="1">
        <f t="shared" si="3"/>
        <v>245</v>
      </c>
      <c r="K47" s="1">
        <v>100</v>
      </c>
      <c r="L47" s="1">
        <v>49</v>
      </c>
      <c r="M47" s="1" t="s">
        <v>54</v>
      </c>
      <c r="N47" s="1" t="s">
        <v>38</v>
      </c>
      <c r="O47" s="1" t="s">
        <v>55</v>
      </c>
      <c r="P47" s="1" t="s">
        <v>42</v>
      </c>
      <c r="S47" s="1" t="s">
        <v>49</v>
      </c>
      <c r="T47" s="1">
        <v>38</v>
      </c>
    </row>
    <row r="48" spans="1:20">
      <c r="A48" s="1">
        <f t="shared" si="5"/>
        <v>47</v>
      </c>
      <c r="B48" s="1" t="s">
        <v>20</v>
      </c>
      <c r="C48" s="1" t="s">
        <v>21</v>
      </c>
      <c r="D48" s="1" t="s">
        <v>82</v>
      </c>
      <c r="E48" s="1" t="s">
        <v>83</v>
      </c>
      <c r="F48" s="1" t="s">
        <v>56</v>
      </c>
      <c r="G48" s="1" t="s">
        <v>84</v>
      </c>
      <c r="H48" s="1">
        <v>1</v>
      </c>
      <c r="I48" s="1">
        <f>IF(G48="","",VLOOKUP(G48,configuracion!$F$2:$G$20,2,0))</f>
        <v>500</v>
      </c>
      <c r="J48" s="1">
        <f t="shared" si="3"/>
        <v>75</v>
      </c>
      <c r="K48" s="1">
        <v>100</v>
      </c>
      <c r="L48" s="1">
        <v>15</v>
      </c>
      <c r="M48" s="1" t="s">
        <v>51</v>
      </c>
      <c r="N48" s="1" t="s">
        <v>57</v>
      </c>
      <c r="O48" s="1" t="s">
        <v>58</v>
      </c>
      <c r="P48" s="1" t="s">
        <v>29</v>
      </c>
      <c r="S48" s="1" t="s">
        <v>37</v>
      </c>
      <c r="T48" s="1">
        <v>28</v>
      </c>
    </row>
    <row r="49" spans="1:20">
      <c r="A49" s="1">
        <f t="shared" si="5"/>
        <v>48</v>
      </c>
      <c r="B49" s="1" t="s">
        <v>20</v>
      </c>
      <c r="C49" s="1" t="s">
        <v>21</v>
      </c>
      <c r="D49" s="1" t="s">
        <v>82</v>
      </c>
      <c r="E49" s="1" t="s">
        <v>83</v>
      </c>
      <c r="F49" s="1" t="s">
        <v>59</v>
      </c>
      <c r="G49" s="1" t="s">
        <v>84</v>
      </c>
      <c r="H49" s="1">
        <v>1</v>
      </c>
      <c r="I49" s="1">
        <f>IF(G49="","",VLOOKUP(G49,configuracion!$F$2:$G$20,2,0))</f>
        <v>500</v>
      </c>
      <c r="J49" s="1">
        <f t="shared" si="3"/>
        <v>350</v>
      </c>
      <c r="K49" s="1">
        <v>100</v>
      </c>
      <c r="L49" s="1">
        <v>70</v>
      </c>
      <c r="M49" s="1" t="s">
        <v>60</v>
      </c>
      <c r="N49" s="1" t="s">
        <v>61</v>
      </c>
      <c r="O49" s="1" t="s">
        <v>62</v>
      </c>
      <c r="P49" s="1" t="s">
        <v>42</v>
      </c>
      <c r="S49" s="1" t="s">
        <v>63</v>
      </c>
      <c r="T49" s="1">
        <v>31</v>
      </c>
    </row>
    <row r="50" spans="1:20">
      <c r="A50" s="1">
        <f t="shared" si="5"/>
        <v>49</v>
      </c>
      <c r="B50" s="1" t="s">
        <v>20</v>
      </c>
      <c r="C50" s="1" t="s">
        <v>21</v>
      </c>
      <c r="D50" s="1" t="s">
        <v>82</v>
      </c>
      <c r="E50" s="1" t="s">
        <v>83</v>
      </c>
      <c r="F50" s="1" t="s">
        <v>64</v>
      </c>
      <c r="G50" s="1" t="s">
        <v>84</v>
      </c>
      <c r="H50" s="1">
        <v>1</v>
      </c>
      <c r="I50" s="1">
        <f>IF(G50="","",VLOOKUP(G50,configuracion!$F$2:$G$20,2,0))</f>
        <v>500</v>
      </c>
      <c r="J50" s="1">
        <f t="shared" si="3"/>
        <v>65</v>
      </c>
      <c r="K50" s="1">
        <v>100</v>
      </c>
      <c r="L50" s="1">
        <v>13</v>
      </c>
      <c r="M50" s="1" t="s">
        <v>52</v>
      </c>
      <c r="N50" s="1" t="s">
        <v>65</v>
      </c>
      <c r="O50" s="1" t="s">
        <v>66</v>
      </c>
      <c r="P50" s="1" t="s">
        <v>29</v>
      </c>
      <c r="S50" s="1" t="s">
        <v>67</v>
      </c>
      <c r="T50" s="1">
        <v>65</v>
      </c>
    </row>
    <row r="51" spans="1:20">
      <c r="A51" s="1">
        <f t="shared" si="5"/>
        <v>50</v>
      </c>
      <c r="B51" s="1" t="s">
        <v>20</v>
      </c>
      <c r="C51" s="1" t="s">
        <v>21</v>
      </c>
      <c r="D51" s="1" t="s">
        <v>82</v>
      </c>
      <c r="E51" s="1" t="s">
        <v>83</v>
      </c>
      <c r="F51" s="1" t="s">
        <v>68</v>
      </c>
      <c r="G51" s="1" t="s">
        <v>84</v>
      </c>
      <c r="H51" s="1">
        <v>1</v>
      </c>
      <c r="I51" s="1">
        <f>IF(G51="","",VLOOKUP(G51,configuracion!$F$2:$G$20,2,0))</f>
        <v>500</v>
      </c>
      <c r="J51" s="1">
        <f t="shared" si="3"/>
        <v>180</v>
      </c>
      <c r="K51" s="1">
        <v>100</v>
      </c>
      <c r="L51" s="1">
        <v>36</v>
      </c>
      <c r="M51" s="1" t="s">
        <v>69</v>
      </c>
      <c r="N51" s="1" t="s">
        <v>57</v>
      </c>
      <c r="O51" s="1" t="s">
        <v>70</v>
      </c>
      <c r="P51" s="1" t="s">
        <v>57</v>
      </c>
      <c r="S51" s="1" t="s">
        <v>71</v>
      </c>
      <c r="T51" s="1">
        <v>56</v>
      </c>
    </row>
    <row r="52" spans="1:20">
      <c r="A52" s="1">
        <f t="shared" si="5"/>
        <v>51</v>
      </c>
      <c r="B52" s="1" t="s">
        <v>20</v>
      </c>
      <c r="C52" s="1" t="s">
        <v>21</v>
      </c>
      <c r="D52" s="1" t="s">
        <v>82</v>
      </c>
      <c r="E52" s="1" t="s">
        <v>83</v>
      </c>
      <c r="F52" s="1" t="s">
        <v>72</v>
      </c>
      <c r="G52" s="1" t="s">
        <v>84</v>
      </c>
      <c r="H52" s="1">
        <v>1</v>
      </c>
      <c r="I52" s="1">
        <f>IF(G52="","",VLOOKUP(G52,configuracion!$F$2:$G$20,2,0))</f>
        <v>500</v>
      </c>
      <c r="J52" s="1">
        <f t="shared" si="3"/>
        <v>125</v>
      </c>
      <c r="K52" s="1">
        <v>100</v>
      </c>
      <c r="L52" s="1">
        <v>25</v>
      </c>
      <c r="M52" s="1" t="s">
        <v>73</v>
      </c>
      <c r="N52" s="1" t="s">
        <v>34</v>
      </c>
      <c r="O52" s="1" t="s">
        <v>37</v>
      </c>
      <c r="P52" s="1" t="s">
        <v>39</v>
      </c>
      <c r="S52" s="1" t="s">
        <v>74</v>
      </c>
      <c r="T52" s="1">
        <v>18</v>
      </c>
    </row>
    <row r="53" spans="1:20">
      <c r="A53" s="1">
        <f t="shared" si="5"/>
        <v>52</v>
      </c>
      <c r="B53" s="1" t="s">
        <v>20</v>
      </c>
      <c r="C53" s="1" t="s">
        <v>21</v>
      </c>
      <c r="D53" s="1" t="s">
        <v>82</v>
      </c>
      <c r="E53" s="1" t="s">
        <v>83</v>
      </c>
      <c r="F53" s="1" t="s">
        <v>75</v>
      </c>
      <c r="G53" s="1" t="s">
        <v>84</v>
      </c>
      <c r="H53" s="1">
        <v>1</v>
      </c>
      <c r="I53" s="1">
        <f>IF(G53="","",VLOOKUP(G53,configuracion!$F$2:$G$20,2,0))</f>
        <v>500</v>
      </c>
      <c r="J53" s="1">
        <f t="shared" si="3"/>
        <v>125</v>
      </c>
      <c r="K53" s="1">
        <v>100</v>
      </c>
      <c r="L53" s="1">
        <v>25</v>
      </c>
      <c r="M53" s="1" t="s">
        <v>26</v>
      </c>
      <c r="N53" s="1" t="s">
        <v>43</v>
      </c>
      <c r="O53" s="1" t="s">
        <v>76</v>
      </c>
      <c r="P53" s="1" t="s">
        <v>77</v>
      </c>
      <c r="S53" s="1" t="s">
        <v>30</v>
      </c>
      <c r="T53" s="1">
        <v>27</v>
      </c>
    </row>
    <row r="54" spans="8:8">
      <c r="H54" s="1">
        <v>1</v>
      </c>
    </row>
  </sheetData>
  <dataValidations count="3">
    <dataValidation type="list" allowBlank="1" showInputMessage="1" showErrorMessage="1" sqref="D2:D42">
      <formula1>configuracion!$A$2:$A$4</formula1>
    </dataValidation>
    <dataValidation type="list" allowBlank="1" showInputMessage="1" showErrorMessage="1" sqref="E2:E53">
      <formula1>configuracion!$B$2:$B$19</formula1>
    </dataValidation>
    <dataValidation type="list" allowBlank="1" showInputMessage="1" showErrorMessage="1" sqref="G1:G44 G45:G53 G54:G1048576">
      <formula1>configuracion!$F$1:$F$23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G21" sqref="G21"/>
    </sheetView>
  </sheetViews>
  <sheetFormatPr defaultColWidth="9.14285714285714" defaultRowHeight="15" outlineLevelCol="6"/>
  <cols>
    <col min="1" max="1" width="12.7142857142857" customWidth="1"/>
    <col min="5" max="6" width="26.7142857142857" customWidth="1"/>
    <col min="7" max="7" width="24.1428571428571" customWidth="1"/>
  </cols>
  <sheetData>
    <row r="1" spans="1:7">
      <c r="A1" t="s">
        <v>85</v>
      </c>
      <c r="B1" t="s">
        <v>86</v>
      </c>
      <c r="F1" t="s">
        <v>87</v>
      </c>
      <c r="G1" t="s">
        <v>88</v>
      </c>
    </row>
    <row r="2" spans="1:7">
      <c r="A2" t="s">
        <v>22</v>
      </c>
      <c r="B2" t="s">
        <v>89</v>
      </c>
      <c r="F2" t="s">
        <v>90</v>
      </c>
      <c r="G2">
        <v>0.2</v>
      </c>
    </row>
    <row r="3" spans="1:7">
      <c r="A3" t="s">
        <v>78</v>
      </c>
      <c r="B3" t="s">
        <v>79</v>
      </c>
      <c r="F3" t="s">
        <v>91</v>
      </c>
      <c r="G3">
        <v>250</v>
      </c>
    </row>
    <row r="4" spans="1:7">
      <c r="A4" t="s">
        <v>82</v>
      </c>
      <c r="B4" t="s">
        <v>92</v>
      </c>
      <c r="F4" t="s">
        <v>93</v>
      </c>
      <c r="G4">
        <v>0.2</v>
      </c>
    </row>
    <row r="5" spans="2:7">
      <c r="B5" t="s">
        <v>94</v>
      </c>
      <c r="F5" t="s">
        <v>95</v>
      </c>
      <c r="G5">
        <v>15</v>
      </c>
    </row>
    <row r="6" spans="2:7">
      <c r="B6" t="s">
        <v>81</v>
      </c>
      <c r="F6" t="s">
        <v>96</v>
      </c>
      <c r="G6">
        <v>5</v>
      </c>
    </row>
    <row r="7" spans="2:7">
      <c r="B7" t="s">
        <v>83</v>
      </c>
      <c r="F7" t="s">
        <v>97</v>
      </c>
      <c r="G7">
        <v>2</v>
      </c>
    </row>
    <row r="8" spans="2:7">
      <c r="B8" t="s">
        <v>98</v>
      </c>
      <c r="F8" t="s">
        <v>99</v>
      </c>
      <c r="G8">
        <v>150</v>
      </c>
    </row>
    <row r="9" spans="2:7">
      <c r="B9" t="s">
        <v>100</v>
      </c>
      <c r="F9" t="s">
        <v>101</v>
      </c>
      <c r="G9">
        <v>28</v>
      </c>
    </row>
    <row r="10" spans="2:7">
      <c r="B10" t="s">
        <v>102</v>
      </c>
      <c r="F10" t="s">
        <v>103</v>
      </c>
      <c r="G10">
        <v>6</v>
      </c>
    </row>
    <row r="11" spans="2:7">
      <c r="B11" t="s">
        <v>104</v>
      </c>
      <c r="F11" t="s">
        <v>105</v>
      </c>
      <c r="G11">
        <v>15</v>
      </c>
    </row>
    <row r="12" spans="2:6">
      <c r="B12" t="s">
        <v>106</v>
      </c>
      <c r="F12" t="s">
        <v>107</v>
      </c>
    </row>
    <row r="13" spans="2:7">
      <c r="B13" t="s">
        <v>108</v>
      </c>
      <c r="F13" t="s">
        <v>109</v>
      </c>
      <c r="G13">
        <v>150</v>
      </c>
    </row>
    <row r="14" spans="2:7">
      <c r="B14" t="s">
        <v>110</v>
      </c>
      <c r="F14" t="s">
        <v>111</v>
      </c>
      <c r="G14">
        <v>80</v>
      </c>
    </row>
    <row r="15" spans="2:7">
      <c r="B15" t="s">
        <v>112</v>
      </c>
      <c r="F15" t="s">
        <v>113</v>
      </c>
      <c r="G15">
        <v>50</v>
      </c>
    </row>
    <row r="16" spans="2:7">
      <c r="B16" t="s">
        <v>114</v>
      </c>
      <c r="F16" t="s">
        <v>115</v>
      </c>
      <c r="G16">
        <v>30</v>
      </c>
    </row>
    <row r="17" spans="2:7">
      <c r="B17" t="s">
        <v>116</v>
      </c>
      <c r="F17" t="s">
        <v>25</v>
      </c>
      <c r="G17">
        <v>50</v>
      </c>
    </row>
    <row r="18" spans="2:7">
      <c r="B18" t="s">
        <v>117</v>
      </c>
      <c r="F18" t="s">
        <v>80</v>
      </c>
      <c r="G18">
        <v>150</v>
      </c>
    </row>
    <row r="19" spans="2:7">
      <c r="B19" t="s">
        <v>23</v>
      </c>
      <c r="F19" t="s">
        <v>118</v>
      </c>
      <c r="G19">
        <v>150</v>
      </c>
    </row>
    <row r="20" spans="6:7">
      <c r="F20" t="s">
        <v>84</v>
      </c>
      <c r="G20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Hoja1</vt:lpstr>
      <vt:lpstr>configuracion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PAPA</cp:lastModifiedBy>
  <dcterms:created xsi:type="dcterms:W3CDTF">2026-02-04T20:55:00Z</dcterms:created>
  <dcterms:modified xsi:type="dcterms:W3CDTF">2026-02-06T23:39:12Z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F5218C65C46E4A3FBCFA54A9C1446B5F_11</vt:lpwstr>
  </property>
  <property fmtid="{D5CDD505-2E9C-101B-9397-08002B2CF9AE}" pid="3" name="KSOProductBuildVer">
    <vt:lpwstr>3082-12.2.0.23196</vt:lpwstr>
  </property>
</Properties>
</file>